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30" windowWidth="22995" windowHeight="1005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V9" i="1" l="1"/>
  <c r="V10" i="1"/>
  <c r="V11" i="1"/>
  <c r="V12" i="1"/>
  <c r="V8" i="1"/>
  <c r="U9" i="1"/>
  <c r="U10" i="1"/>
  <c r="U11" i="1"/>
  <c r="U12" i="1"/>
  <c r="T9" i="1" l="1"/>
  <c r="T10" i="1"/>
  <c r="T11" i="1"/>
  <c r="T12" i="1"/>
  <c r="T8" i="1"/>
  <c r="S9" i="1"/>
  <c r="S10" i="1"/>
  <c r="S11" i="1"/>
  <c r="S12" i="1"/>
  <c r="S8" i="1"/>
  <c r="R9" i="1"/>
  <c r="R10" i="1"/>
  <c r="R11" i="1"/>
  <c r="R12" i="1"/>
  <c r="R8" i="1"/>
  <c r="P9" i="1"/>
  <c r="P10" i="1"/>
  <c r="P11" i="1"/>
  <c r="P12" i="1"/>
  <c r="P8" i="1"/>
  <c r="O9" i="1"/>
  <c r="O10" i="1"/>
  <c r="O11" i="1"/>
  <c r="O12" i="1"/>
  <c r="O8" i="1"/>
  <c r="N9" i="1"/>
  <c r="N10" i="1"/>
  <c r="N11" i="1"/>
  <c r="N12" i="1"/>
  <c r="N8" i="1"/>
  <c r="M9" i="1"/>
  <c r="M10" i="1"/>
  <c r="M11" i="1"/>
  <c r="M12" i="1"/>
  <c r="M8" i="1"/>
  <c r="L9" i="1"/>
  <c r="L10" i="1"/>
  <c r="L11" i="1"/>
  <c r="L12" i="1"/>
  <c r="L8" i="1"/>
</calcChain>
</file>

<file path=xl/sharedStrings.xml><?xml version="1.0" encoding="utf-8"?>
<sst xmlns="http://schemas.openxmlformats.org/spreadsheetml/2006/main" count="27" uniqueCount="27">
  <si>
    <r>
      <rPr>
        <sz val="36"/>
        <color theme="4"/>
        <rFont val="Cambria"/>
        <family val="1"/>
        <scheme val="major"/>
      </rPr>
      <t>SALARY SHEET</t>
    </r>
    <r>
      <rPr>
        <sz val="36"/>
        <color theme="1"/>
        <rFont val="Cambria"/>
        <family val="1"/>
        <scheme val="major"/>
      </rPr>
      <t xml:space="preserve"> </t>
    </r>
  </si>
  <si>
    <t xml:space="preserve">Employee ID </t>
  </si>
  <si>
    <t xml:space="preserve">Employee Name </t>
  </si>
  <si>
    <t>Designation</t>
  </si>
  <si>
    <t xml:space="preserve">Basic Salary </t>
  </si>
  <si>
    <t xml:space="preserve">Over Time </t>
  </si>
  <si>
    <t xml:space="preserve">Overtime Salary </t>
  </si>
  <si>
    <t xml:space="preserve">Gross Salary </t>
  </si>
  <si>
    <t xml:space="preserve">Net Salary </t>
  </si>
  <si>
    <t xml:space="preserve">  C.A</t>
  </si>
  <si>
    <t xml:space="preserve">     T.A </t>
  </si>
  <si>
    <t xml:space="preserve">   H.R.A </t>
  </si>
  <si>
    <t xml:space="preserve">     D.A</t>
  </si>
  <si>
    <t xml:space="preserve">   Salary </t>
  </si>
  <si>
    <t xml:space="preserve">   T.Att </t>
  </si>
  <si>
    <t xml:space="preserve">   PF </t>
  </si>
  <si>
    <t xml:space="preserve">      ESI </t>
  </si>
  <si>
    <t xml:space="preserve">          Abhi</t>
  </si>
  <si>
    <t xml:space="preserve">     Himanshu </t>
  </si>
  <si>
    <t xml:space="preserve">        Mayank </t>
  </si>
  <si>
    <t xml:space="preserve">           Rohit </t>
  </si>
  <si>
    <t xml:space="preserve">        Ram </t>
  </si>
  <si>
    <t xml:space="preserve">      CEO </t>
  </si>
  <si>
    <t xml:space="preserve">   Manager </t>
  </si>
  <si>
    <t xml:space="preserve">       H.R </t>
  </si>
  <si>
    <t xml:space="preserve">    Worker </t>
  </si>
  <si>
    <t xml:space="preserve">   Worker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</si>
</sst>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36"/>
      <color theme="1"/>
      <name val="Cambria"/>
      <family val="1"/>
      <scheme val="major"/>
    </font>
    <font>
      <sz val="36"/>
      <color theme="4"/>
      <name val="Cambria"/>
      <family val="1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3:V12"/>
  <sheetViews>
    <sheetView tabSelected="1" topLeftCell="B1" workbookViewId="0">
      <selection activeCell="V14" sqref="V14"/>
    </sheetView>
  </sheetViews>
  <sheetFormatPr defaultRowHeight="15" x14ac:dyDescent="0.25"/>
  <cols>
    <col min="7" max="7" width="12" customWidth="1"/>
    <col min="8" max="8" width="15.42578125" customWidth="1"/>
    <col min="9" max="9" width="11.5703125" bestFit="1" customWidth="1"/>
    <col min="10" max="10" width="10.85546875" customWidth="1"/>
    <col min="16" max="16" width="6.140625" customWidth="1"/>
    <col min="17" max="17" width="10" customWidth="1"/>
    <col min="18" max="18" width="15" customWidth="1"/>
    <col min="19" max="19" width="11.5703125" customWidth="1"/>
    <col min="20" max="20" width="5" customWidth="1"/>
    <col min="22" max="22" width="10.140625" customWidth="1"/>
  </cols>
  <sheetData>
    <row r="3" spans="7:22" x14ac:dyDescent="0.25">
      <c r="I3" s="1" t="s">
        <v>0</v>
      </c>
      <c r="J3" s="2"/>
      <c r="K3" s="2"/>
      <c r="L3" s="2"/>
      <c r="M3" s="2"/>
      <c r="N3" s="2"/>
      <c r="O3" s="2"/>
      <c r="P3" s="2"/>
      <c r="Q3" s="2"/>
    </row>
    <row r="4" spans="7:22" x14ac:dyDescent="0.25">
      <c r="I4" s="2"/>
      <c r="J4" s="2"/>
      <c r="K4" s="2"/>
      <c r="L4" s="2"/>
      <c r="M4" s="2"/>
      <c r="N4" s="2"/>
      <c r="O4" s="2"/>
      <c r="P4" s="2"/>
      <c r="Q4" s="2"/>
    </row>
    <row r="5" spans="7:22" x14ac:dyDescent="0.25">
      <c r="I5" s="2"/>
      <c r="J5" s="2"/>
      <c r="K5" s="2"/>
      <c r="L5" s="2"/>
      <c r="M5" s="2"/>
      <c r="N5" s="2"/>
      <c r="O5" s="2"/>
      <c r="P5" s="2"/>
      <c r="Q5" s="2"/>
    </row>
    <row r="7" spans="7:22" x14ac:dyDescent="0.25">
      <c r="G7" t="s">
        <v>1</v>
      </c>
      <c r="H7" t="s">
        <v>2</v>
      </c>
      <c r="I7" t="s">
        <v>3</v>
      </c>
      <c r="J7" t="s">
        <v>4</v>
      </c>
      <c r="K7" t="s">
        <v>14</v>
      </c>
      <c r="L7" t="s">
        <v>13</v>
      </c>
      <c r="M7" t="s">
        <v>12</v>
      </c>
      <c r="N7" t="s">
        <v>11</v>
      </c>
      <c r="O7" t="s">
        <v>10</v>
      </c>
      <c r="P7" t="s">
        <v>9</v>
      </c>
      <c r="Q7" t="s">
        <v>5</v>
      </c>
      <c r="R7" t="s">
        <v>6</v>
      </c>
      <c r="S7" t="s">
        <v>7</v>
      </c>
      <c r="T7" t="s">
        <v>15</v>
      </c>
      <c r="U7" t="s">
        <v>16</v>
      </c>
      <c r="V7" t="s">
        <v>8</v>
      </c>
    </row>
    <row r="8" spans="7:22" x14ac:dyDescent="0.25">
      <c r="G8">
        <v>131</v>
      </c>
      <c r="H8" t="s">
        <v>17</v>
      </c>
      <c r="I8" t="s">
        <v>22</v>
      </c>
      <c r="J8">
        <v>50000</v>
      </c>
      <c r="K8">
        <v>26</v>
      </c>
      <c r="L8">
        <f>J8/30*K8</f>
        <v>43333.333333333336</v>
      </c>
      <c r="M8">
        <f>J8/8</f>
        <v>6250</v>
      </c>
      <c r="N8">
        <f>J8/5</f>
        <v>10000</v>
      </c>
      <c r="O8">
        <f>J8/4</f>
        <v>12500</v>
      </c>
      <c r="P8">
        <f>J8/2</f>
        <v>25000</v>
      </c>
      <c r="Q8">
        <v>12</v>
      </c>
      <c r="R8">
        <f>J8/30/8*12</f>
        <v>2500</v>
      </c>
      <c r="S8">
        <f>L8+M8+N8+O8+P8+R8</f>
        <v>99583.333333333343</v>
      </c>
      <c r="T8">
        <f>IF(J8&gt;=15000,J8*10%,0)</f>
        <v>5000</v>
      </c>
      <c r="U8">
        <v>0</v>
      </c>
      <c r="V8">
        <f>S8-T8-U8</f>
        <v>94583.333333333343</v>
      </c>
    </row>
    <row r="9" spans="7:22" x14ac:dyDescent="0.25">
      <c r="G9">
        <v>132</v>
      </c>
      <c r="H9" t="s">
        <v>18</v>
      </c>
      <c r="I9" t="s">
        <v>23</v>
      </c>
      <c r="J9">
        <v>40000</v>
      </c>
      <c r="K9">
        <v>28</v>
      </c>
      <c r="L9">
        <f t="shared" ref="L9:L12" si="0">J9/30*K9</f>
        <v>37333.333333333328</v>
      </c>
      <c r="M9">
        <f t="shared" ref="M9:M12" si="1">J9/8</f>
        <v>5000</v>
      </c>
      <c r="N9">
        <f t="shared" ref="N9:N12" si="2">J9/5</f>
        <v>8000</v>
      </c>
      <c r="O9">
        <f t="shared" ref="O9:O12" si="3">J9/4</f>
        <v>10000</v>
      </c>
      <c r="P9">
        <f t="shared" ref="P9:P12" si="4">J9/2</f>
        <v>20000</v>
      </c>
      <c r="Q9">
        <v>10</v>
      </c>
      <c r="R9">
        <f t="shared" ref="R9:R12" si="5">J9/30/8*12</f>
        <v>2000</v>
      </c>
      <c r="S9">
        <f t="shared" ref="S9:S12" si="6">L9+M9+N9+O9+P9+R9</f>
        <v>82333.333333333328</v>
      </c>
      <c r="T9">
        <f t="shared" ref="T9:T12" si="7">IF(J9&gt;=15000,J9*10%,0)</f>
        <v>4000</v>
      </c>
      <c r="U9">
        <f t="shared" ref="U9:U12" si="8">IF(J9&lt;=15000&gt;J9*5%,0)</f>
        <v>0</v>
      </c>
      <c r="V9">
        <f t="shared" ref="V9:V12" si="9">S9-T9-U9</f>
        <v>78333.333333333328</v>
      </c>
    </row>
    <row r="10" spans="7:22" x14ac:dyDescent="0.25">
      <c r="G10">
        <v>133</v>
      </c>
      <c r="H10" t="s">
        <v>19</v>
      </c>
      <c r="I10" t="s">
        <v>24</v>
      </c>
      <c r="J10">
        <v>30000</v>
      </c>
      <c r="K10">
        <v>27</v>
      </c>
      <c r="L10">
        <f t="shared" si="0"/>
        <v>27000</v>
      </c>
      <c r="M10">
        <f t="shared" si="1"/>
        <v>3750</v>
      </c>
      <c r="N10">
        <f t="shared" si="2"/>
        <v>6000</v>
      </c>
      <c r="O10">
        <f t="shared" si="3"/>
        <v>7500</v>
      </c>
      <c r="P10">
        <f t="shared" si="4"/>
        <v>15000</v>
      </c>
      <c r="Q10">
        <v>12</v>
      </c>
      <c r="R10">
        <f t="shared" si="5"/>
        <v>1500</v>
      </c>
      <c r="S10">
        <f t="shared" si="6"/>
        <v>60750</v>
      </c>
      <c r="T10">
        <f t="shared" si="7"/>
        <v>3000</v>
      </c>
      <c r="U10">
        <f t="shared" si="8"/>
        <v>0</v>
      </c>
      <c r="V10">
        <f t="shared" si="9"/>
        <v>57750</v>
      </c>
    </row>
    <row r="11" spans="7:22" x14ac:dyDescent="0.25">
      <c r="G11">
        <v>134</v>
      </c>
      <c r="H11" t="s">
        <v>20</v>
      </c>
      <c r="I11" t="s">
        <v>25</v>
      </c>
      <c r="J11">
        <v>15000</v>
      </c>
      <c r="K11">
        <v>29</v>
      </c>
      <c r="L11">
        <f t="shared" si="0"/>
        <v>14500</v>
      </c>
      <c r="M11">
        <f t="shared" si="1"/>
        <v>1875</v>
      </c>
      <c r="N11">
        <f t="shared" si="2"/>
        <v>3000</v>
      </c>
      <c r="O11">
        <f t="shared" si="3"/>
        <v>3750</v>
      </c>
      <c r="P11">
        <f t="shared" si="4"/>
        <v>7500</v>
      </c>
      <c r="Q11">
        <v>15</v>
      </c>
      <c r="R11">
        <f t="shared" si="5"/>
        <v>750</v>
      </c>
      <c r="S11">
        <f t="shared" si="6"/>
        <v>31375</v>
      </c>
      <c r="T11">
        <f t="shared" si="7"/>
        <v>1500</v>
      </c>
      <c r="U11">
        <f t="shared" si="8"/>
        <v>0</v>
      </c>
      <c r="V11">
        <f t="shared" si="9"/>
        <v>29875</v>
      </c>
    </row>
    <row r="12" spans="7:22" x14ac:dyDescent="0.25">
      <c r="G12">
        <v>135</v>
      </c>
      <c r="H12" t="s">
        <v>21</v>
      </c>
      <c r="I12" t="s">
        <v>26</v>
      </c>
      <c r="J12">
        <v>15000</v>
      </c>
      <c r="K12">
        <v>23</v>
      </c>
      <c r="L12">
        <f t="shared" si="0"/>
        <v>11500</v>
      </c>
      <c r="M12">
        <f t="shared" si="1"/>
        <v>1875</v>
      </c>
      <c r="N12">
        <f t="shared" si="2"/>
        <v>3000</v>
      </c>
      <c r="O12">
        <f t="shared" si="3"/>
        <v>3750</v>
      </c>
      <c r="P12">
        <f t="shared" si="4"/>
        <v>7500</v>
      </c>
      <c r="Q12">
        <v>17</v>
      </c>
      <c r="R12">
        <f t="shared" si="5"/>
        <v>750</v>
      </c>
      <c r="S12">
        <f t="shared" si="6"/>
        <v>28375</v>
      </c>
      <c r="T12">
        <f t="shared" si="7"/>
        <v>1500</v>
      </c>
      <c r="U12">
        <f t="shared" si="8"/>
        <v>0</v>
      </c>
      <c r="V12">
        <f t="shared" si="9"/>
        <v>26875</v>
      </c>
    </row>
  </sheetData>
  <mergeCells count="1">
    <mergeCell ref="I3:Q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2024-06-19T05:49:16Z</dcterms:created>
  <dcterms:modified xsi:type="dcterms:W3CDTF">2024-06-20T06:27:44Z</dcterms:modified>
</cp:coreProperties>
</file>